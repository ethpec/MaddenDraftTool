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thpe\OneDrive\Documents\Git\MaddenDraftTool\Files\TestFiles\"/>
    </mc:Choice>
  </mc:AlternateContent>
  <xr:revisionPtr revIDLastSave="0" documentId="13_ncr:1_{5FAA4E12-0FD1-466C-BAB5-B80840A97439}" xr6:coauthVersionLast="47" xr6:coauthVersionMax="47" xr10:uidLastSave="{00000000-0000-0000-0000-000000000000}"/>
  <bookViews>
    <workbookView xWindow="-120" yWindow="-120" windowWidth="29040" windowHeight="15720" xr2:uid="{DE15C3C6-B90C-4AA8-AF55-EC28F49C3043}"/>
  </bookViews>
  <sheets>
    <sheet name="TierNeedLogic" sheetId="1" r:id="rId1"/>
    <sheet name="RoundRanges" sheetId="2" r:id="rId2"/>
  </sheets>
  <definedNames>
    <definedName name="_xlnm._FilterDatabase" localSheetId="0" hidden="1">TierNeedLogic!$A$1:$H$91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G88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G67" i="1"/>
  <c r="H67" i="1"/>
  <c r="H28" i="1"/>
  <c r="G28" i="1"/>
  <c r="H25" i="1"/>
  <c r="G25" i="1"/>
  <c r="H20" i="1"/>
  <c r="G20" i="1"/>
  <c r="H15" i="1"/>
  <c r="G15" i="1"/>
  <c r="G12" i="1"/>
  <c r="H12" i="1"/>
  <c r="G11" i="1"/>
  <c r="H11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3" i="1"/>
  <c r="H13" i="1"/>
  <c r="G14" i="1"/>
  <c r="H14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6" i="1"/>
  <c r="H26" i="1"/>
  <c r="G27" i="1"/>
  <c r="H27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9" i="1"/>
  <c r="H89" i="1"/>
  <c r="G90" i="1"/>
  <c r="H90" i="1"/>
  <c r="G91" i="1"/>
  <c r="H91" i="1"/>
  <c r="H2" i="1"/>
  <c r="G2" i="1"/>
</calcChain>
</file>

<file path=xl/sharedStrings.xml><?xml version="1.0" encoding="utf-8"?>
<sst xmlns="http://schemas.openxmlformats.org/spreadsheetml/2006/main" count="237" uniqueCount="77">
  <si>
    <t>QB</t>
  </si>
  <si>
    <t>HB</t>
  </si>
  <si>
    <t>WR</t>
  </si>
  <si>
    <t>TE</t>
  </si>
  <si>
    <t>C</t>
  </si>
  <si>
    <t>DT</t>
  </si>
  <si>
    <t>CB</t>
  </si>
  <si>
    <t>FS</t>
  </si>
  <si>
    <t>SS</t>
  </si>
  <si>
    <t>K</t>
  </si>
  <si>
    <t>P</t>
  </si>
  <si>
    <t>Position</t>
  </si>
  <si>
    <t>Rank</t>
  </si>
  <si>
    <t>Need Label</t>
  </si>
  <si>
    <t>Roster OVR Min</t>
  </si>
  <si>
    <t>Roster OVR Max</t>
  </si>
  <si>
    <t>LS</t>
  </si>
  <si>
    <t>LS1</t>
  </si>
  <si>
    <t>QB2</t>
  </si>
  <si>
    <t>HB1</t>
  </si>
  <si>
    <t>HB2</t>
  </si>
  <si>
    <t>WR1</t>
  </si>
  <si>
    <t>WR2</t>
  </si>
  <si>
    <t>WR3</t>
  </si>
  <si>
    <t>WR4</t>
  </si>
  <si>
    <t>TE1</t>
  </si>
  <si>
    <t>TE2</t>
  </si>
  <si>
    <t>C1</t>
  </si>
  <si>
    <t>C2</t>
  </si>
  <si>
    <t>DT1</t>
  </si>
  <si>
    <t>DT2</t>
  </si>
  <si>
    <t>DT3</t>
  </si>
  <si>
    <t>CB1</t>
  </si>
  <si>
    <t>CB2</t>
  </si>
  <si>
    <t>CB3</t>
  </si>
  <si>
    <t>CB4</t>
  </si>
  <si>
    <t>FS1</t>
  </si>
  <si>
    <t>FS2</t>
  </si>
  <si>
    <t>SS1</t>
  </si>
  <si>
    <t>SS2</t>
  </si>
  <si>
    <t>K1</t>
  </si>
  <si>
    <t>P1</t>
  </si>
  <si>
    <t>DefaultWeight</t>
  </si>
  <si>
    <t>CB5</t>
  </si>
  <si>
    <t>WR5</t>
  </si>
  <si>
    <t>HB3</t>
  </si>
  <si>
    <t>TE3</t>
  </si>
  <si>
    <t>DT4</t>
  </si>
  <si>
    <t>QB1</t>
  </si>
  <si>
    <t>FB</t>
  </si>
  <si>
    <t>FB1</t>
  </si>
  <si>
    <t>ILB1</t>
  </si>
  <si>
    <t>ILB2</t>
  </si>
  <si>
    <t>EDGE</t>
  </si>
  <si>
    <t>EDGE1</t>
  </si>
  <si>
    <t>EDGE2</t>
  </si>
  <si>
    <t>OLB1</t>
  </si>
  <si>
    <t>OLB2</t>
  </si>
  <si>
    <t>OT</t>
  </si>
  <si>
    <t>OT1</t>
  </si>
  <si>
    <t>OT2</t>
  </si>
  <si>
    <t>OT3</t>
  </si>
  <si>
    <t>OG</t>
  </si>
  <si>
    <t>OG1</t>
  </si>
  <si>
    <t>OG2</t>
  </si>
  <si>
    <t>OG3</t>
  </si>
  <si>
    <t>EDGE3</t>
  </si>
  <si>
    <t>EDGE4</t>
  </si>
  <si>
    <t>OLB3</t>
  </si>
  <si>
    <t>Min</t>
  </si>
  <si>
    <t>Max</t>
  </si>
  <si>
    <t>LB</t>
  </si>
  <si>
    <t>LB1</t>
  </si>
  <si>
    <t>LB2</t>
  </si>
  <si>
    <t>LB3</t>
  </si>
  <si>
    <t>LB4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</si>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</sst>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437B3-F8C6-4C30-BAA1-BB8B4D93E54D}">
  <dimension ref="A1:H91"/>
  <sheetViews>
    <sheetView tabSelected="1" workbookViewId="0">
      <selection activeCell="F11" sqref="F11"/>
    </sheetView>
  </sheetViews>
  <sheetFormatPr defaultRowHeight="15" x14ac:dyDescent="0.25"/>
  <cols>
    <col min="1" max="1" width="10.5703125" bestFit="1" customWidth="1"/>
    <col min="2" max="2" width="7.7109375" bestFit="1" customWidth="1"/>
    <col min="3" max="3" width="13" bestFit="1" customWidth="1"/>
    <col min="4" max="4" width="15.7109375" bestFit="1" customWidth="1"/>
    <col min="5" max="5" width="16.85546875" bestFit="1" customWidth="1"/>
    <col min="6" max="6" width="17.140625" bestFit="1" customWidth="1"/>
  </cols>
  <sheetData>
    <row r="1" spans="1:8" x14ac:dyDescent="0.25">
      <c r="A1" t="s">
        <v>11</v>
      </c>
      <c r="B1" t="s">
        <v>12</v>
      </c>
      <c r="C1" t="s">
        <v>13</v>
      </c>
      <c r="D1" t="s">
        <v>42</v>
      </c>
      <c r="E1" t="s">
        <v>14</v>
      </c>
      <c r="F1" t="s">
        <v>15</v>
      </c>
      <c r="H1" t="s">
        <v>76</v>
      </c>
    </row>
    <row r="2" spans="1:8" x14ac:dyDescent="0.25">
      <c r="A2" t="s">
        <v>0</v>
      </c>
      <c r="B2">
        <v>1</v>
      </c>
      <c r="C2" t="s">
        <v>48</v>
      </c>
      <c r="D2">
        <v>3.5</v>
      </c>
      <c r="E2">
        <v>0</v>
      </c>
      <c r="F2">
        <v>69</v>
      </c>
      <c r="G2">
        <f>D2-(D2*0.25)</f>
        <v>2.625</v>
      </c>
      <c r="H2">
        <f>D2+(D2*0.25)</f>
        <v>4.375</v>
      </c>
    </row>
    <row r="3" spans="1:8" x14ac:dyDescent="0.25">
      <c r="A3" t="s">
        <v>0</v>
      </c>
      <c r="B3">
        <v>1</v>
      </c>
      <c r="C3" t="s">
        <v>48</v>
      </c>
      <c r="D3">
        <v>2.5</v>
      </c>
      <c r="E3">
        <v>70</v>
      </c>
      <c r="F3">
        <v>72</v>
      </c>
      <c r="G3">
        <f t="shared" ref="G3:G67" si="0">D3-(D3*0.25)</f>
        <v>1.875</v>
      </c>
      <c r="H3">
        <f t="shared" ref="H3:H67" si="1">D3+(D3*0.25)</f>
        <v>3.125</v>
      </c>
    </row>
    <row r="4" spans="1:8" x14ac:dyDescent="0.25">
      <c r="A4" t="s">
        <v>0</v>
      </c>
      <c r="B4">
        <v>2</v>
      </c>
      <c r="C4" t="s">
        <v>18</v>
      </c>
      <c r="D4">
        <v>1.5</v>
      </c>
      <c r="E4">
        <v>0</v>
      </c>
      <c r="F4">
        <v>59</v>
      </c>
      <c r="G4">
        <f t="shared" si="0"/>
        <v>1.125</v>
      </c>
      <c r="H4">
        <f t="shared" si="1"/>
        <v>1.875</v>
      </c>
    </row>
    <row r="5" spans="1:8" x14ac:dyDescent="0.25">
      <c r="A5" t="s">
        <v>0</v>
      </c>
      <c r="B5">
        <v>2</v>
      </c>
      <c r="C5" t="s">
        <v>18</v>
      </c>
      <c r="D5">
        <v>1</v>
      </c>
      <c r="E5">
        <v>60</v>
      </c>
      <c r="F5">
        <v>64</v>
      </c>
      <c r="G5">
        <f t="shared" si="0"/>
        <v>0.75</v>
      </c>
      <c r="H5">
        <f t="shared" si="1"/>
        <v>1.25</v>
      </c>
    </row>
    <row r="6" spans="1:8" x14ac:dyDescent="0.25">
      <c r="A6" t="s">
        <v>1</v>
      </c>
      <c r="B6">
        <v>1</v>
      </c>
      <c r="C6" t="s">
        <v>19</v>
      </c>
      <c r="D6">
        <v>3</v>
      </c>
      <c r="E6">
        <v>0</v>
      </c>
      <c r="F6">
        <v>76</v>
      </c>
      <c r="G6">
        <f t="shared" si="0"/>
        <v>2.25</v>
      </c>
      <c r="H6">
        <f t="shared" si="1"/>
        <v>3.75</v>
      </c>
    </row>
    <row r="7" spans="1:8" x14ac:dyDescent="0.25">
      <c r="A7" t="s">
        <v>1</v>
      </c>
      <c r="B7">
        <v>1</v>
      </c>
      <c r="C7" t="s">
        <v>19</v>
      </c>
      <c r="D7">
        <v>2.25</v>
      </c>
      <c r="E7">
        <v>77</v>
      </c>
      <c r="F7">
        <v>79</v>
      </c>
      <c r="G7">
        <f t="shared" si="0"/>
        <v>1.6875</v>
      </c>
      <c r="H7">
        <f t="shared" si="1"/>
        <v>2.8125</v>
      </c>
    </row>
    <row r="8" spans="1:8" x14ac:dyDescent="0.25">
      <c r="A8" t="s">
        <v>1</v>
      </c>
      <c r="B8">
        <v>2</v>
      </c>
      <c r="C8" t="s">
        <v>20</v>
      </c>
      <c r="D8">
        <v>2</v>
      </c>
      <c r="E8">
        <v>0</v>
      </c>
      <c r="F8">
        <v>69</v>
      </c>
      <c r="G8">
        <f t="shared" si="0"/>
        <v>1.5</v>
      </c>
      <c r="H8">
        <f t="shared" si="1"/>
        <v>2.5</v>
      </c>
    </row>
    <row r="9" spans="1:8" x14ac:dyDescent="0.25">
      <c r="A9" t="s">
        <v>1</v>
      </c>
      <c r="B9">
        <v>2</v>
      </c>
      <c r="C9" t="s">
        <v>20</v>
      </c>
      <c r="D9">
        <v>1.75</v>
      </c>
      <c r="E9">
        <v>70</v>
      </c>
      <c r="F9">
        <v>74</v>
      </c>
      <c r="G9">
        <f t="shared" si="0"/>
        <v>1.3125</v>
      </c>
      <c r="H9">
        <f t="shared" si="1"/>
        <v>2.1875</v>
      </c>
    </row>
    <row r="10" spans="1:8" x14ac:dyDescent="0.25">
      <c r="A10" t="s">
        <v>1</v>
      </c>
      <c r="B10">
        <v>3</v>
      </c>
      <c r="C10" t="s">
        <v>45</v>
      </c>
      <c r="D10">
        <v>1</v>
      </c>
      <c r="E10">
        <v>0</v>
      </c>
      <c r="F10">
        <v>64</v>
      </c>
      <c r="G10">
        <f t="shared" si="0"/>
        <v>0.75</v>
      </c>
      <c r="H10">
        <f t="shared" si="1"/>
        <v>1.25</v>
      </c>
    </row>
    <row r="11" spans="1:8" x14ac:dyDescent="0.25">
      <c r="A11" t="s">
        <v>1</v>
      </c>
      <c r="B11">
        <v>3</v>
      </c>
      <c r="C11" t="s">
        <v>45</v>
      </c>
      <c r="D11">
        <v>1.25</v>
      </c>
      <c r="E11">
        <v>65</v>
      </c>
      <c r="F11">
        <v>69</v>
      </c>
      <c r="G11">
        <f t="shared" ref="G11" si="2">D11-(D11*0.25)</f>
        <v>0.9375</v>
      </c>
      <c r="H11">
        <f t="shared" ref="H11" si="3">D11+(D11*0.25)</f>
        <v>1.5625</v>
      </c>
    </row>
    <row r="12" spans="1:8" x14ac:dyDescent="0.25">
      <c r="A12" t="s">
        <v>2</v>
      </c>
      <c r="B12">
        <v>1</v>
      </c>
      <c r="C12" t="s">
        <v>21</v>
      </c>
      <c r="D12">
        <v>3.5</v>
      </c>
      <c r="E12">
        <v>0</v>
      </c>
      <c r="F12">
        <v>74</v>
      </c>
      <c r="G12">
        <f t="shared" ref="G12" si="4">D12-(D12*0.25)</f>
        <v>2.625</v>
      </c>
      <c r="H12">
        <f t="shared" ref="H12" si="5">D12+(D12*0.25)</f>
        <v>4.375</v>
      </c>
    </row>
    <row r="13" spans="1:8" x14ac:dyDescent="0.25">
      <c r="A13" t="s">
        <v>2</v>
      </c>
      <c r="B13">
        <v>1</v>
      </c>
      <c r="C13" t="s">
        <v>21</v>
      </c>
      <c r="D13">
        <v>3</v>
      </c>
      <c r="E13">
        <v>75</v>
      </c>
      <c r="F13">
        <v>79</v>
      </c>
      <c r="G13">
        <f t="shared" si="0"/>
        <v>2.25</v>
      </c>
      <c r="H13">
        <f t="shared" si="1"/>
        <v>3.75</v>
      </c>
    </row>
    <row r="14" spans="1:8" x14ac:dyDescent="0.25">
      <c r="A14" t="s">
        <v>2</v>
      </c>
      <c r="B14">
        <v>1</v>
      </c>
      <c r="C14" t="s">
        <v>21</v>
      </c>
      <c r="D14">
        <v>2.25</v>
      </c>
      <c r="E14">
        <v>80</v>
      </c>
      <c r="F14">
        <v>81</v>
      </c>
      <c r="G14">
        <f t="shared" si="0"/>
        <v>1.6875</v>
      </c>
      <c r="H14">
        <f t="shared" si="1"/>
        <v>2.8125</v>
      </c>
    </row>
    <row r="15" spans="1:8" x14ac:dyDescent="0.25">
      <c r="A15" t="s">
        <v>2</v>
      </c>
      <c r="B15">
        <v>2</v>
      </c>
      <c r="C15" t="s">
        <v>22</v>
      </c>
      <c r="D15">
        <v>3.25</v>
      </c>
      <c r="E15">
        <v>0</v>
      </c>
      <c r="F15">
        <v>72</v>
      </c>
      <c r="G15">
        <f t="shared" ref="G15" si="6">D15-(D15*0.25)</f>
        <v>2.4375</v>
      </c>
      <c r="H15">
        <f t="shared" ref="H15" si="7">D15+(D15*0.25)</f>
        <v>4.0625</v>
      </c>
    </row>
    <row r="16" spans="1:8" x14ac:dyDescent="0.25">
      <c r="A16" t="s">
        <v>2</v>
      </c>
      <c r="B16">
        <v>2</v>
      </c>
      <c r="C16" t="s">
        <v>22</v>
      </c>
      <c r="D16">
        <v>3</v>
      </c>
      <c r="E16">
        <v>73</v>
      </c>
      <c r="F16">
        <v>75</v>
      </c>
      <c r="G16">
        <f t="shared" si="0"/>
        <v>2.25</v>
      </c>
      <c r="H16">
        <f t="shared" si="1"/>
        <v>3.75</v>
      </c>
    </row>
    <row r="17" spans="1:8" x14ac:dyDescent="0.25">
      <c r="A17" t="s">
        <v>2</v>
      </c>
      <c r="B17">
        <v>2</v>
      </c>
      <c r="C17" t="s">
        <v>22</v>
      </c>
      <c r="D17">
        <v>2</v>
      </c>
      <c r="E17">
        <v>76</v>
      </c>
      <c r="F17">
        <v>79</v>
      </c>
      <c r="G17">
        <f t="shared" si="0"/>
        <v>1.5</v>
      </c>
      <c r="H17">
        <f t="shared" si="1"/>
        <v>2.5</v>
      </c>
    </row>
    <row r="18" spans="1:8" x14ac:dyDescent="0.25">
      <c r="A18" t="s">
        <v>2</v>
      </c>
      <c r="B18">
        <v>3</v>
      </c>
      <c r="C18" t="s">
        <v>23</v>
      </c>
      <c r="D18">
        <v>2</v>
      </c>
      <c r="E18">
        <v>0</v>
      </c>
      <c r="F18">
        <v>69</v>
      </c>
      <c r="G18">
        <f t="shared" si="0"/>
        <v>1.5</v>
      </c>
      <c r="H18">
        <f t="shared" si="1"/>
        <v>2.5</v>
      </c>
    </row>
    <row r="19" spans="1:8" x14ac:dyDescent="0.25">
      <c r="A19" t="s">
        <v>2</v>
      </c>
      <c r="B19">
        <v>3</v>
      </c>
      <c r="C19" t="s">
        <v>23</v>
      </c>
      <c r="D19">
        <v>1.75</v>
      </c>
      <c r="E19">
        <v>70</v>
      </c>
      <c r="F19">
        <v>72</v>
      </c>
      <c r="G19">
        <f t="shared" si="0"/>
        <v>1.3125</v>
      </c>
      <c r="H19">
        <f t="shared" si="1"/>
        <v>2.1875</v>
      </c>
    </row>
    <row r="20" spans="1:8" x14ac:dyDescent="0.25">
      <c r="A20" t="s">
        <v>2</v>
      </c>
      <c r="B20">
        <v>3</v>
      </c>
      <c r="C20" t="s">
        <v>23</v>
      </c>
      <c r="D20">
        <v>1.25</v>
      </c>
      <c r="E20">
        <v>73</v>
      </c>
      <c r="F20">
        <v>74</v>
      </c>
      <c r="G20">
        <f t="shared" ref="G20" si="8">D20-(D20*0.25)</f>
        <v>0.9375</v>
      </c>
      <c r="H20">
        <f t="shared" ref="H20" si="9">D20+(D20*0.25)</f>
        <v>1.5625</v>
      </c>
    </row>
    <row r="21" spans="1:8" x14ac:dyDescent="0.25">
      <c r="A21" t="s">
        <v>2</v>
      </c>
      <c r="B21">
        <v>4</v>
      </c>
      <c r="C21" t="s">
        <v>24</v>
      </c>
      <c r="D21">
        <v>1.25</v>
      </c>
      <c r="E21">
        <v>0</v>
      </c>
      <c r="F21">
        <v>67</v>
      </c>
      <c r="G21">
        <f t="shared" si="0"/>
        <v>0.9375</v>
      </c>
      <c r="H21">
        <f t="shared" si="1"/>
        <v>1.5625</v>
      </c>
    </row>
    <row r="22" spans="1:8" x14ac:dyDescent="0.25">
      <c r="A22" t="s">
        <v>2</v>
      </c>
      <c r="B22">
        <v>4</v>
      </c>
      <c r="C22" t="s">
        <v>24</v>
      </c>
      <c r="D22">
        <v>1</v>
      </c>
      <c r="E22">
        <v>68</v>
      </c>
      <c r="F22">
        <v>71</v>
      </c>
      <c r="G22">
        <f t="shared" si="0"/>
        <v>0.75</v>
      </c>
      <c r="H22">
        <f t="shared" si="1"/>
        <v>1.25</v>
      </c>
    </row>
    <row r="23" spans="1:8" x14ac:dyDescent="0.25">
      <c r="A23" t="s">
        <v>2</v>
      </c>
      <c r="B23">
        <v>5</v>
      </c>
      <c r="C23" t="s">
        <v>44</v>
      </c>
      <c r="D23">
        <v>1.125</v>
      </c>
      <c r="E23">
        <v>0</v>
      </c>
      <c r="F23">
        <v>64</v>
      </c>
      <c r="G23">
        <f t="shared" si="0"/>
        <v>0.84375</v>
      </c>
      <c r="H23">
        <f t="shared" si="1"/>
        <v>1.40625</v>
      </c>
    </row>
    <row r="24" spans="1:8" x14ac:dyDescent="0.25">
      <c r="A24" t="s">
        <v>3</v>
      </c>
      <c r="B24">
        <v>1</v>
      </c>
      <c r="C24" t="s">
        <v>25</v>
      </c>
      <c r="D24">
        <v>3.5</v>
      </c>
      <c r="E24">
        <v>0</v>
      </c>
      <c r="F24">
        <v>69</v>
      </c>
      <c r="G24">
        <f t="shared" si="0"/>
        <v>2.625</v>
      </c>
      <c r="H24">
        <f t="shared" si="1"/>
        <v>4.375</v>
      </c>
    </row>
    <row r="25" spans="1:8" x14ac:dyDescent="0.25">
      <c r="A25" t="s">
        <v>3</v>
      </c>
      <c r="B25">
        <v>1</v>
      </c>
      <c r="C25" t="s">
        <v>25</v>
      </c>
      <c r="D25">
        <v>2.5</v>
      </c>
      <c r="E25">
        <v>70</v>
      </c>
      <c r="F25">
        <v>72</v>
      </c>
      <c r="G25">
        <f t="shared" ref="G25" si="10">D25-(D25*0.25)</f>
        <v>1.875</v>
      </c>
      <c r="H25">
        <f t="shared" ref="H25" si="11">D25+(D25*0.25)</f>
        <v>3.125</v>
      </c>
    </row>
    <row r="26" spans="1:8" x14ac:dyDescent="0.25">
      <c r="A26" t="s">
        <v>3</v>
      </c>
      <c r="B26">
        <v>1</v>
      </c>
      <c r="C26" t="s">
        <v>25</v>
      </c>
      <c r="D26">
        <v>2</v>
      </c>
      <c r="E26">
        <v>73</v>
      </c>
      <c r="F26">
        <v>74</v>
      </c>
      <c r="G26">
        <f t="shared" si="0"/>
        <v>1.5</v>
      </c>
      <c r="H26">
        <f t="shared" si="1"/>
        <v>2.5</v>
      </c>
    </row>
    <row r="27" spans="1:8" x14ac:dyDescent="0.25">
      <c r="A27" t="s">
        <v>3</v>
      </c>
      <c r="B27">
        <v>2</v>
      </c>
      <c r="C27" t="s">
        <v>26</v>
      </c>
      <c r="D27">
        <v>2</v>
      </c>
      <c r="E27">
        <v>0</v>
      </c>
      <c r="F27">
        <v>64</v>
      </c>
      <c r="G27">
        <f t="shared" si="0"/>
        <v>1.5</v>
      </c>
      <c r="H27">
        <f t="shared" si="1"/>
        <v>2.5</v>
      </c>
    </row>
    <row r="28" spans="1:8" x14ac:dyDescent="0.25">
      <c r="A28" t="s">
        <v>3</v>
      </c>
      <c r="B28">
        <v>2</v>
      </c>
      <c r="C28" t="s">
        <v>26</v>
      </c>
      <c r="D28">
        <v>1.5</v>
      </c>
      <c r="E28">
        <v>65</v>
      </c>
      <c r="F28">
        <v>67</v>
      </c>
      <c r="G28">
        <f t="shared" ref="G28" si="12">D28-(D28*0.25)</f>
        <v>1.125</v>
      </c>
      <c r="H28">
        <f t="shared" ref="H28" si="13">D28+(D28*0.25)</f>
        <v>1.875</v>
      </c>
    </row>
    <row r="29" spans="1:8" x14ac:dyDescent="0.25">
      <c r="A29" t="s">
        <v>3</v>
      </c>
      <c r="B29">
        <v>3</v>
      </c>
      <c r="C29" t="s">
        <v>46</v>
      </c>
      <c r="D29">
        <v>1.25</v>
      </c>
      <c r="E29">
        <v>0</v>
      </c>
      <c r="F29">
        <v>64</v>
      </c>
      <c r="G29">
        <f t="shared" si="0"/>
        <v>0.9375</v>
      </c>
      <c r="H29">
        <f t="shared" si="1"/>
        <v>1.5625</v>
      </c>
    </row>
    <row r="30" spans="1:8" x14ac:dyDescent="0.25">
      <c r="A30" t="s">
        <v>58</v>
      </c>
      <c r="B30">
        <v>1</v>
      </c>
      <c r="C30" t="s">
        <v>59</v>
      </c>
      <c r="D30">
        <v>3.5</v>
      </c>
      <c r="E30">
        <v>0</v>
      </c>
      <c r="F30">
        <v>72</v>
      </c>
      <c r="G30">
        <f t="shared" si="0"/>
        <v>2.625</v>
      </c>
      <c r="H30">
        <f t="shared" si="1"/>
        <v>4.375</v>
      </c>
    </row>
    <row r="31" spans="1:8" x14ac:dyDescent="0.25">
      <c r="A31" t="s">
        <v>58</v>
      </c>
      <c r="B31">
        <v>1</v>
      </c>
      <c r="C31" t="s">
        <v>59</v>
      </c>
      <c r="D31">
        <v>2.5</v>
      </c>
      <c r="E31">
        <v>73</v>
      </c>
      <c r="F31">
        <v>74</v>
      </c>
      <c r="G31">
        <f t="shared" si="0"/>
        <v>1.875</v>
      </c>
      <c r="H31">
        <f t="shared" si="1"/>
        <v>3.125</v>
      </c>
    </row>
    <row r="32" spans="1:8" x14ac:dyDescent="0.25">
      <c r="A32" t="s">
        <v>58</v>
      </c>
      <c r="B32">
        <v>2</v>
      </c>
      <c r="C32" t="s">
        <v>60</v>
      </c>
      <c r="D32">
        <v>3.5</v>
      </c>
      <c r="E32">
        <v>0</v>
      </c>
      <c r="F32">
        <v>69</v>
      </c>
      <c r="G32">
        <f t="shared" si="0"/>
        <v>2.625</v>
      </c>
      <c r="H32">
        <f t="shared" si="1"/>
        <v>4.375</v>
      </c>
    </row>
    <row r="33" spans="1:8" x14ac:dyDescent="0.25">
      <c r="A33" t="s">
        <v>58</v>
      </c>
      <c r="B33">
        <v>2</v>
      </c>
      <c r="C33" t="s">
        <v>60</v>
      </c>
      <c r="D33">
        <v>2.25</v>
      </c>
      <c r="E33">
        <v>70</v>
      </c>
      <c r="F33">
        <v>72</v>
      </c>
      <c r="G33">
        <f t="shared" si="0"/>
        <v>1.6875</v>
      </c>
      <c r="H33">
        <f t="shared" si="1"/>
        <v>2.8125</v>
      </c>
    </row>
    <row r="34" spans="1:8" x14ac:dyDescent="0.25">
      <c r="A34" t="s">
        <v>58</v>
      </c>
      <c r="B34">
        <v>3</v>
      </c>
      <c r="C34" t="s">
        <v>61</v>
      </c>
      <c r="D34">
        <v>1.75</v>
      </c>
      <c r="E34">
        <v>0</v>
      </c>
      <c r="F34">
        <v>64</v>
      </c>
      <c r="G34">
        <f t="shared" si="0"/>
        <v>1.3125</v>
      </c>
      <c r="H34">
        <f t="shared" si="1"/>
        <v>2.1875</v>
      </c>
    </row>
    <row r="35" spans="1:8" x14ac:dyDescent="0.25">
      <c r="A35" t="s">
        <v>58</v>
      </c>
      <c r="B35">
        <v>3</v>
      </c>
      <c r="C35" t="s">
        <v>61</v>
      </c>
      <c r="D35">
        <v>1.25</v>
      </c>
      <c r="E35">
        <v>65</v>
      </c>
      <c r="F35">
        <v>66</v>
      </c>
      <c r="G35">
        <f t="shared" si="0"/>
        <v>0.9375</v>
      </c>
      <c r="H35">
        <f t="shared" si="1"/>
        <v>1.5625</v>
      </c>
    </row>
    <row r="36" spans="1:8" x14ac:dyDescent="0.25">
      <c r="A36" t="s">
        <v>62</v>
      </c>
      <c r="B36">
        <v>1</v>
      </c>
      <c r="C36" t="s">
        <v>63</v>
      </c>
      <c r="D36">
        <v>3.5</v>
      </c>
      <c r="E36">
        <v>0</v>
      </c>
      <c r="F36">
        <v>72</v>
      </c>
      <c r="G36">
        <f t="shared" si="0"/>
        <v>2.625</v>
      </c>
      <c r="H36">
        <f t="shared" si="1"/>
        <v>4.375</v>
      </c>
    </row>
    <row r="37" spans="1:8" x14ac:dyDescent="0.25">
      <c r="A37" t="s">
        <v>62</v>
      </c>
      <c r="B37">
        <v>1</v>
      </c>
      <c r="C37" t="s">
        <v>63</v>
      </c>
      <c r="D37">
        <v>2.5</v>
      </c>
      <c r="E37">
        <v>73</v>
      </c>
      <c r="F37">
        <v>74</v>
      </c>
      <c r="G37">
        <f t="shared" si="0"/>
        <v>1.875</v>
      </c>
      <c r="H37">
        <f t="shared" si="1"/>
        <v>3.125</v>
      </c>
    </row>
    <row r="38" spans="1:8" x14ac:dyDescent="0.25">
      <c r="A38" t="s">
        <v>62</v>
      </c>
      <c r="B38">
        <v>2</v>
      </c>
      <c r="C38" t="s">
        <v>64</v>
      </c>
      <c r="D38">
        <v>3.5</v>
      </c>
      <c r="E38">
        <v>0</v>
      </c>
      <c r="F38">
        <v>69</v>
      </c>
      <c r="G38">
        <f t="shared" si="0"/>
        <v>2.625</v>
      </c>
      <c r="H38">
        <f t="shared" si="1"/>
        <v>4.375</v>
      </c>
    </row>
    <row r="39" spans="1:8" x14ac:dyDescent="0.25">
      <c r="A39" t="s">
        <v>62</v>
      </c>
      <c r="B39">
        <v>2</v>
      </c>
      <c r="C39" t="s">
        <v>64</v>
      </c>
      <c r="D39">
        <v>2.25</v>
      </c>
      <c r="E39">
        <v>70</v>
      </c>
      <c r="F39">
        <v>72</v>
      </c>
      <c r="G39">
        <f t="shared" si="0"/>
        <v>1.6875</v>
      </c>
      <c r="H39">
        <f t="shared" si="1"/>
        <v>2.8125</v>
      </c>
    </row>
    <row r="40" spans="1:8" x14ac:dyDescent="0.25">
      <c r="A40" t="s">
        <v>62</v>
      </c>
      <c r="B40">
        <v>3</v>
      </c>
      <c r="C40" t="s">
        <v>65</v>
      </c>
      <c r="D40">
        <v>1.75</v>
      </c>
      <c r="E40">
        <v>0</v>
      </c>
      <c r="F40">
        <v>64</v>
      </c>
      <c r="G40">
        <f t="shared" si="0"/>
        <v>1.3125</v>
      </c>
      <c r="H40">
        <f t="shared" si="1"/>
        <v>2.1875</v>
      </c>
    </row>
    <row r="41" spans="1:8" x14ac:dyDescent="0.25">
      <c r="A41" t="s">
        <v>62</v>
      </c>
      <c r="B41">
        <v>3</v>
      </c>
      <c r="C41" t="s">
        <v>65</v>
      </c>
      <c r="D41">
        <v>1.25</v>
      </c>
      <c r="E41">
        <v>65</v>
      </c>
      <c r="F41">
        <v>66</v>
      </c>
      <c r="G41">
        <f t="shared" si="0"/>
        <v>0.9375</v>
      </c>
      <c r="H41">
        <f t="shared" si="1"/>
        <v>1.5625</v>
      </c>
    </row>
    <row r="42" spans="1:8" x14ac:dyDescent="0.25">
      <c r="A42" t="s">
        <v>4</v>
      </c>
      <c r="B42">
        <v>1</v>
      </c>
      <c r="C42" t="s">
        <v>27</v>
      </c>
      <c r="D42">
        <v>3</v>
      </c>
      <c r="E42">
        <v>0</v>
      </c>
      <c r="F42">
        <v>69</v>
      </c>
      <c r="G42">
        <f t="shared" si="0"/>
        <v>2.25</v>
      </c>
      <c r="H42">
        <f t="shared" si="1"/>
        <v>3.75</v>
      </c>
    </row>
    <row r="43" spans="1:8" x14ac:dyDescent="0.25">
      <c r="A43" t="s">
        <v>4</v>
      </c>
      <c r="B43">
        <v>1</v>
      </c>
      <c r="C43" t="s">
        <v>27</v>
      </c>
      <c r="D43">
        <v>2</v>
      </c>
      <c r="E43">
        <v>70</v>
      </c>
      <c r="F43">
        <v>73</v>
      </c>
      <c r="G43">
        <f t="shared" si="0"/>
        <v>1.5</v>
      </c>
      <c r="H43">
        <f t="shared" si="1"/>
        <v>2.5</v>
      </c>
    </row>
    <row r="44" spans="1:8" x14ac:dyDescent="0.25">
      <c r="A44" t="s">
        <v>4</v>
      </c>
      <c r="B44">
        <v>2</v>
      </c>
      <c r="C44" t="s">
        <v>28</v>
      </c>
      <c r="D44">
        <v>1.5</v>
      </c>
      <c r="E44">
        <v>0</v>
      </c>
      <c r="F44">
        <v>62</v>
      </c>
      <c r="G44">
        <f t="shared" si="0"/>
        <v>1.125</v>
      </c>
      <c r="H44">
        <f t="shared" si="1"/>
        <v>1.875</v>
      </c>
    </row>
    <row r="45" spans="1:8" x14ac:dyDescent="0.25">
      <c r="A45" t="s">
        <v>4</v>
      </c>
      <c r="B45">
        <v>2</v>
      </c>
      <c r="C45" t="s">
        <v>28</v>
      </c>
      <c r="D45">
        <v>1.25</v>
      </c>
      <c r="E45">
        <v>63</v>
      </c>
      <c r="F45">
        <v>64</v>
      </c>
      <c r="G45">
        <f t="shared" si="0"/>
        <v>0.9375</v>
      </c>
      <c r="H45">
        <f t="shared" si="1"/>
        <v>1.5625</v>
      </c>
    </row>
    <row r="46" spans="1:8" x14ac:dyDescent="0.25">
      <c r="A46" t="s">
        <v>53</v>
      </c>
      <c r="B46">
        <v>1</v>
      </c>
      <c r="C46" t="s">
        <v>54</v>
      </c>
      <c r="D46">
        <v>3.5</v>
      </c>
      <c r="E46">
        <v>0</v>
      </c>
      <c r="F46">
        <v>74</v>
      </c>
      <c r="G46">
        <f t="shared" si="0"/>
        <v>2.625</v>
      </c>
      <c r="H46">
        <f t="shared" si="1"/>
        <v>4.375</v>
      </c>
    </row>
    <row r="47" spans="1:8" x14ac:dyDescent="0.25">
      <c r="A47" t="s">
        <v>53</v>
      </c>
      <c r="B47">
        <v>1</v>
      </c>
      <c r="C47" t="s">
        <v>54</v>
      </c>
      <c r="D47">
        <v>2.25</v>
      </c>
      <c r="E47">
        <v>75</v>
      </c>
      <c r="F47">
        <v>77</v>
      </c>
      <c r="G47">
        <f t="shared" si="0"/>
        <v>1.6875</v>
      </c>
      <c r="H47">
        <f t="shared" si="1"/>
        <v>2.8125</v>
      </c>
    </row>
    <row r="48" spans="1:8" x14ac:dyDescent="0.25">
      <c r="A48" t="s">
        <v>53</v>
      </c>
      <c r="B48">
        <v>2</v>
      </c>
      <c r="C48" t="s">
        <v>55</v>
      </c>
      <c r="D48">
        <v>3.25</v>
      </c>
      <c r="E48">
        <v>0</v>
      </c>
      <c r="F48">
        <v>73</v>
      </c>
      <c r="G48">
        <f t="shared" si="0"/>
        <v>2.4375</v>
      </c>
      <c r="H48">
        <f t="shared" si="1"/>
        <v>4.0625</v>
      </c>
    </row>
    <row r="49" spans="1:8" x14ac:dyDescent="0.25">
      <c r="A49" t="s">
        <v>53</v>
      </c>
      <c r="B49">
        <v>2</v>
      </c>
      <c r="C49" t="s">
        <v>55</v>
      </c>
      <c r="D49">
        <v>2.25</v>
      </c>
      <c r="E49">
        <v>74</v>
      </c>
      <c r="F49">
        <v>75</v>
      </c>
      <c r="G49">
        <f t="shared" si="0"/>
        <v>1.6875</v>
      </c>
      <c r="H49">
        <f t="shared" si="1"/>
        <v>2.8125</v>
      </c>
    </row>
    <row r="50" spans="1:8" x14ac:dyDescent="0.25">
      <c r="A50" t="s">
        <v>53</v>
      </c>
      <c r="B50">
        <v>3</v>
      </c>
      <c r="C50" t="s">
        <v>66</v>
      </c>
      <c r="D50">
        <v>2</v>
      </c>
      <c r="E50">
        <v>0</v>
      </c>
      <c r="F50">
        <v>69</v>
      </c>
      <c r="G50">
        <f t="shared" si="0"/>
        <v>1.5</v>
      </c>
      <c r="H50">
        <f t="shared" si="1"/>
        <v>2.5</v>
      </c>
    </row>
    <row r="51" spans="1:8" x14ac:dyDescent="0.25">
      <c r="A51" t="s">
        <v>53</v>
      </c>
      <c r="B51">
        <v>3</v>
      </c>
      <c r="C51" t="s">
        <v>66</v>
      </c>
      <c r="D51">
        <v>1.25</v>
      </c>
      <c r="E51">
        <v>70</v>
      </c>
      <c r="F51">
        <v>72</v>
      </c>
      <c r="G51">
        <f t="shared" si="0"/>
        <v>0.9375</v>
      </c>
      <c r="H51">
        <f t="shared" si="1"/>
        <v>1.5625</v>
      </c>
    </row>
    <row r="52" spans="1:8" x14ac:dyDescent="0.25">
      <c r="A52" t="s">
        <v>53</v>
      </c>
      <c r="B52">
        <v>4</v>
      </c>
      <c r="C52" t="s">
        <v>67</v>
      </c>
      <c r="D52">
        <v>1</v>
      </c>
      <c r="E52">
        <v>0</v>
      </c>
      <c r="F52">
        <v>64</v>
      </c>
      <c r="G52">
        <f t="shared" si="0"/>
        <v>0.75</v>
      </c>
      <c r="H52">
        <f t="shared" si="1"/>
        <v>1.25</v>
      </c>
    </row>
    <row r="53" spans="1:8" x14ac:dyDescent="0.25">
      <c r="A53" t="s">
        <v>5</v>
      </c>
      <c r="B53">
        <v>1</v>
      </c>
      <c r="C53" t="s">
        <v>29</v>
      </c>
      <c r="D53">
        <v>3.5</v>
      </c>
      <c r="E53">
        <v>0</v>
      </c>
      <c r="F53">
        <v>74</v>
      </c>
      <c r="G53">
        <f t="shared" si="0"/>
        <v>2.625</v>
      </c>
      <c r="H53">
        <f t="shared" si="1"/>
        <v>4.375</v>
      </c>
    </row>
    <row r="54" spans="1:8" x14ac:dyDescent="0.25">
      <c r="A54" t="s">
        <v>5</v>
      </c>
      <c r="B54">
        <v>1</v>
      </c>
      <c r="C54" t="s">
        <v>29</v>
      </c>
      <c r="D54">
        <v>2.25</v>
      </c>
      <c r="E54">
        <v>75</v>
      </c>
      <c r="F54">
        <v>77</v>
      </c>
      <c r="G54">
        <f t="shared" si="0"/>
        <v>1.6875</v>
      </c>
      <c r="H54">
        <f t="shared" si="1"/>
        <v>2.8125</v>
      </c>
    </row>
    <row r="55" spans="1:8" x14ac:dyDescent="0.25">
      <c r="A55" t="s">
        <v>5</v>
      </c>
      <c r="B55">
        <v>2</v>
      </c>
      <c r="C55" t="s">
        <v>30</v>
      </c>
      <c r="D55">
        <v>3</v>
      </c>
      <c r="E55">
        <v>0</v>
      </c>
      <c r="F55">
        <v>73</v>
      </c>
      <c r="G55">
        <f t="shared" si="0"/>
        <v>2.25</v>
      </c>
      <c r="H55">
        <f t="shared" si="1"/>
        <v>3.75</v>
      </c>
    </row>
    <row r="56" spans="1:8" x14ac:dyDescent="0.25">
      <c r="A56" t="s">
        <v>5</v>
      </c>
      <c r="B56">
        <v>2</v>
      </c>
      <c r="C56" t="s">
        <v>30</v>
      </c>
      <c r="D56">
        <v>2.25</v>
      </c>
      <c r="E56">
        <v>74</v>
      </c>
      <c r="F56">
        <v>75</v>
      </c>
      <c r="G56">
        <f t="shared" si="0"/>
        <v>1.6875</v>
      </c>
      <c r="H56">
        <f t="shared" si="1"/>
        <v>2.8125</v>
      </c>
    </row>
    <row r="57" spans="1:8" x14ac:dyDescent="0.25">
      <c r="A57" t="s">
        <v>5</v>
      </c>
      <c r="B57">
        <v>3</v>
      </c>
      <c r="C57" t="s">
        <v>31</v>
      </c>
      <c r="D57">
        <v>2</v>
      </c>
      <c r="E57">
        <v>0</v>
      </c>
      <c r="F57">
        <v>69</v>
      </c>
      <c r="G57">
        <f t="shared" si="0"/>
        <v>1.5</v>
      </c>
      <c r="H57">
        <f t="shared" si="1"/>
        <v>2.5</v>
      </c>
    </row>
    <row r="58" spans="1:8" x14ac:dyDescent="0.25">
      <c r="A58" t="s">
        <v>5</v>
      </c>
      <c r="B58">
        <v>3</v>
      </c>
      <c r="C58" t="s">
        <v>31</v>
      </c>
      <c r="D58">
        <v>1.25</v>
      </c>
      <c r="E58">
        <v>70</v>
      </c>
      <c r="F58">
        <v>72</v>
      </c>
      <c r="G58">
        <f t="shared" si="0"/>
        <v>0.9375</v>
      </c>
      <c r="H58">
        <f t="shared" si="1"/>
        <v>1.5625</v>
      </c>
    </row>
    <row r="59" spans="1:8" x14ac:dyDescent="0.25">
      <c r="A59" t="s">
        <v>5</v>
      </c>
      <c r="B59">
        <v>4</v>
      </c>
      <c r="C59" t="s">
        <v>47</v>
      </c>
      <c r="D59">
        <v>1</v>
      </c>
      <c r="E59">
        <v>0</v>
      </c>
      <c r="F59">
        <v>66</v>
      </c>
      <c r="G59">
        <f t="shared" si="0"/>
        <v>0.75</v>
      </c>
      <c r="H59">
        <f t="shared" si="1"/>
        <v>1.25</v>
      </c>
    </row>
    <row r="60" spans="1:8" x14ac:dyDescent="0.25">
      <c r="A60" t="s">
        <v>71</v>
      </c>
      <c r="B60">
        <v>1</v>
      </c>
      <c r="C60" t="s">
        <v>72</v>
      </c>
      <c r="D60">
        <v>3.5</v>
      </c>
      <c r="E60">
        <v>0</v>
      </c>
      <c r="F60">
        <v>72</v>
      </c>
      <c r="G60">
        <f t="shared" si="0"/>
        <v>2.625</v>
      </c>
      <c r="H60">
        <f t="shared" si="1"/>
        <v>4.375</v>
      </c>
    </row>
    <row r="61" spans="1:8" x14ac:dyDescent="0.25">
      <c r="A61" t="s">
        <v>71</v>
      </c>
      <c r="B61">
        <v>1</v>
      </c>
      <c r="C61" t="s">
        <v>72</v>
      </c>
      <c r="D61">
        <v>2.25</v>
      </c>
      <c r="E61">
        <v>73</v>
      </c>
      <c r="F61">
        <v>74</v>
      </c>
      <c r="G61">
        <f t="shared" si="0"/>
        <v>1.6875</v>
      </c>
      <c r="H61">
        <f t="shared" si="1"/>
        <v>2.8125</v>
      </c>
    </row>
    <row r="62" spans="1:8" x14ac:dyDescent="0.25">
      <c r="A62" t="s">
        <v>71</v>
      </c>
      <c r="B62">
        <v>2</v>
      </c>
      <c r="C62" t="s">
        <v>73</v>
      </c>
      <c r="D62">
        <v>3</v>
      </c>
      <c r="E62">
        <v>0</v>
      </c>
      <c r="F62">
        <v>69</v>
      </c>
      <c r="G62">
        <f t="shared" si="0"/>
        <v>2.25</v>
      </c>
      <c r="H62">
        <f t="shared" si="1"/>
        <v>3.75</v>
      </c>
    </row>
    <row r="63" spans="1:8" x14ac:dyDescent="0.25">
      <c r="A63" t="s">
        <v>71</v>
      </c>
      <c r="B63">
        <v>2</v>
      </c>
      <c r="C63" t="s">
        <v>73</v>
      </c>
      <c r="D63">
        <v>2</v>
      </c>
      <c r="E63">
        <v>70</v>
      </c>
      <c r="F63">
        <v>72</v>
      </c>
      <c r="G63">
        <f t="shared" si="0"/>
        <v>1.5</v>
      </c>
      <c r="H63">
        <f t="shared" si="1"/>
        <v>2.5</v>
      </c>
    </row>
    <row r="64" spans="1:8" x14ac:dyDescent="0.25">
      <c r="A64" t="s">
        <v>71</v>
      </c>
      <c r="B64">
        <v>3</v>
      </c>
      <c r="C64" t="s">
        <v>74</v>
      </c>
      <c r="D64">
        <v>2.25</v>
      </c>
      <c r="E64">
        <v>0</v>
      </c>
      <c r="F64">
        <v>67</v>
      </c>
      <c r="G64">
        <f t="shared" si="0"/>
        <v>1.6875</v>
      </c>
      <c r="H64">
        <f t="shared" si="1"/>
        <v>2.8125</v>
      </c>
    </row>
    <row r="65" spans="1:8" x14ac:dyDescent="0.25">
      <c r="A65" t="s">
        <v>71</v>
      </c>
      <c r="B65">
        <v>3</v>
      </c>
      <c r="C65" t="s">
        <v>74</v>
      </c>
      <c r="D65">
        <v>1.75</v>
      </c>
      <c r="E65">
        <v>68</v>
      </c>
      <c r="F65">
        <v>69</v>
      </c>
      <c r="G65">
        <f t="shared" si="0"/>
        <v>1.3125</v>
      </c>
      <c r="H65">
        <f t="shared" si="1"/>
        <v>2.1875</v>
      </c>
    </row>
    <row r="66" spans="1:8" x14ac:dyDescent="0.25">
      <c r="A66" t="s">
        <v>71</v>
      </c>
      <c r="B66">
        <v>4</v>
      </c>
      <c r="C66" t="s">
        <v>75</v>
      </c>
      <c r="D66">
        <v>1.75</v>
      </c>
      <c r="E66">
        <v>0</v>
      </c>
      <c r="F66">
        <v>64</v>
      </c>
      <c r="G66">
        <f t="shared" si="0"/>
        <v>1.3125</v>
      </c>
      <c r="H66">
        <f t="shared" si="1"/>
        <v>2.1875</v>
      </c>
    </row>
    <row r="67" spans="1:8" x14ac:dyDescent="0.25">
      <c r="A67" t="s">
        <v>71</v>
      </c>
      <c r="B67">
        <v>4</v>
      </c>
      <c r="C67" t="s">
        <v>75</v>
      </c>
      <c r="D67">
        <v>1.25</v>
      </c>
      <c r="E67">
        <v>65</v>
      </c>
      <c r="F67">
        <v>66</v>
      </c>
      <c r="G67">
        <f t="shared" si="0"/>
        <v>0.9375</v>
      </c>
      <c r="H67">
        <f t="shared" si="1"/>
        <v>1.5625</v>
      </c>
    </row>
    <row r="68" spans="1:8" x14ac:dyDescent="0.25">
      <c r="A68" t="s">
        <v>6</v>
      </c>
      <c r="B68">
        <v>1</v>
      </c>
      <c r="C68" t="s">
        <v>32</v>
      </c>
      <c r="D68">
        <v>3.5</v>
      </c>
      <c r="E68">
        <v>0</v>
      </c>
      <c r="F68">
        <v>74</v>
      </c>
      <c r="G68">
        <f t="shared" ref="G68:G79" si="14">D68-(D68*0.25)</f>
        <v>2.625</v>
      </c>
      <c r="H68">
        <f t="shared" ref="H68:H79" si="15">D68+(D68*0.25)</f>
        <v>4.375</v>
      </c>
    </row>
    <row r="69" spans="1:8" x14ac:dyDescent="0.25">
      <c r="A69" t="s">
        <v>6</v>
      </c>
      <c r="B69">
        <v>1</v>
      </c>
      <c r="C69" t="s">
        <v>32</v>
      </c>
      <c r="D69">
        <v>3</v>
      </c>
      <c r="E69">
        <v>75</v>
      </c>
      <c r="F69">
        <v>79</v>
      </c>
      <c r="G69">
        <f t="shared" si="14"/>
        <v>2.25</v>
      </c>
      <c r="H69">
        <f t="shared" si="15"/>
        <v>3.75</v>
      </c>
    </row>
    <row r="70" spans="1:8" x14ac:dyDescent="0.25">
      <c r="A70" t="s">
        <v>6</v>
      </c>
      <c r="B70">
        <v>1</v>
      </c>
      <c r="C70" t="s">
        <v>32</v>
      </c>
      <c r="D70">
        <v>2.25</v>
      </c>
      <c r="E70">
        <v>80</v>
      </c>
      <c r="F70">
        <v>81</v>
      </c>
      <c r="G70">
        <f t="shared" si="14"/>
        <v>1.6875</v>
      </c>
      <c r="H70">
        <f t="shared" si="15"/>
        <v>2.8125</v>
      </c>
    </row>
    <row r="71" spans="1:8" x14ac:dyDescent="0.25">
      <c r="A71" t="s">
        <v>6</v>
      </c>
      <c r="B71">
        <v>2</v>
      </c>
      <c r="C71" t="s">
        <v>33</v>
      </c>
      <c r="D71">
        <v>3.25</v>
      </c>
      <c r="E71">
        <v>0</v>
      </c>
      <c r="F71">
        <v>72</v>
      </c>
      <c r="G71">
        <f t="shared" si="14"/>
        <v>2.4375</v>
      </c>
      <c r="H71">
        <f t="shared" si="15"/>
        <v>4.0625</v>
      </c>
    </row>
    <row r="72" spans="1:8" x14ac:dyDescent="0.25">
      <c r="A72" t="s">
        <v>6</v>
      </c>
      <c r="B72">
        <v>2</v>
      </c>
      <c r="C72" t="s">
        <v>33</v>
      </c>
      <c r="D72">
        <v>3</v>
      </c>
      <c r="E72">
        <v>73</v>
      </c>
      <c r="F72">
        <v>75</v>
      </c>
      <c r="G72">
        <f t="shared" si="14"/>
        <v>2.25</v>
      </c>
      <c r="H72">
        <f t="shared" si="15"/>
        <v>3.75</v>
      </c>
    </row>
    <row r="73" spans="1:8" x14ac:dyDescent="0.25">
      <c r="A73" t="s">
        <v>6</v>
      </c>
      <c r="B73">
        <v>2</v>
      </c>
      <c r="C73" t="s">
        <v>33</v>
      </c>
      <c r="D73">
        <v>2</v>
      </c>
      <c r="E73">
        <v>76</v>
      </c>
      <c r="F73">
        <v>79</v>
      </c>
      <c r="G73">
        <f t="shared" si="14"/>
        <v>1.5</v>
      </c>
      <c r="H73">
        <f t="shared" si="15"/>
        <v>2.5</v>
      </c>
    </row>
    <row r="74" spans="1:8" x14ac:dyDescent="0.25">
      <c r="A74" t="s">
        <v>6</v>
      </c>
      <c r="B74">
        <v>3</v>
      </c>
      <c r="C74" t="s">
        <v>34</v>
      </c>
      <c r="D74">
        <v>2</v>
      </c>
      <c r="E74">
        <v>0</v>
      </c>
      <c r="F74">
        <v>69</v>
      </c>
      <c r="G74">
        <f t="shared" si="14"/>
        <v>1.5</v>
      </c>
      <c r="H74">
        <f t="shared" si="15"/>
        <v>2.5</v>
      </c>
    </row>
    <row r="75" spans="1:8" x14ac:dyDescent="0.25">
      <c r="A75" t="s">
        <v>6</v>
      </c>
      <c r="B75">
        <v>3</v>
      </c>
      <c r="C75" t="s">
        <v>34</v>
      </c>
      <c r="D75">
        <v>1.75</v>
      </c>
      <c r="E75">
        <v>70</v>
      </c>
      <c r="F75">
        <v>72</v>
      </c>
      <c r="G75">
        <f t="shared" si="14"/>
        <v>1.3125</v>
      </c>
      <c r="H75">
        <f t="shared" si="15"/>
        <v>2.1875</v>
      </c>
    </row>
    <row r="76" spans="1:8" x14ac:dyDescent="0.25">
      <c r="A76" t="s">
        <v>6</v>
      </c>
      <c r="B76">
        <v>3</v>
      </c>
      <c r="C76" t="s">
        <v>34</v>
      </c>
      <c r="D76">
        <v>1.25</v>
      </c>
      <c r="E76">
        <v>73</v>
      </c>
      <c r="F76">
        <v>74</v>
      </c>
      <c r="G76">
        <f t="shared" si="14"/>
        <v>0.9375</v>
      </c>
      <c r="H76">
        <f t="shared" si="15"/>
        <v>1.5625</v>
      </c>
    </row>
    <row r="77" spans="1:8" x14ac:dyDescent="0.25">
      <c r="A77" t="s">
        <v>6</v>
      </c>
      <c r="B77">
        <v>4</v>
      </c>
      <c r="C77" t="s">
        <v>35</v>
      </c>
      <c r="D77">
        <v>1.25</v>
      </c>
      <c r="E77">
        <v>0</v>
      </c>
      <c r="F77">
        <v>67</v>
      </c>
      <c r="G77">
        <f t="shared" si="14"/>
        <v>0.9375</v>
      </c>
      <c r="H77">
        <f t="shared" si="15"/>
        <v>1.5625</v>
      </c>
    </row>
    <row r="78" spans="1:8" x14ac:dyDescent="0.25">
      <c r="A78" t="s">
        <v>6</v>
      </c>
      <c r="B78">
        <v>4</v>
      </c>
      <c r="C78" t="s">
        <v>35</v>
      </c>
      <c r="D78">
        <v>1</v>
      </c>
      <c r="E78">
        <v>68</v>
      </c>
      <c r="F78">
        <v>71</v>
      </c>
      <c r="G78">
        <f t="shared" si="14"/>
        <v>0.75</v>
      </c>
      <c r="H78">
        <f t="shared" si="15"/>
        <v>1.25</v>
      </c>
    </row>
    <row r="79" spans="1:8" x14ac:dyDescent="0.25">
      <c r="A79" t="s">
        <v>6</v>
      </c>
      <c r="B79">
        <v>5</v>
      </c>
      <c r="C79" t="s">
        <v>43</v>
      </c>
      <c r="D79">
        <v>1.125</v>
      </c>
      <c r="E79">
        <v>0</v>
      </c>
      <c r="F79">
        <v>64</v>
      </c>
      <c r="G79">
        <f t="shared" si="14"/>
        <v>0.84375</v>
      </c>
      <c r="H79">
        <f t="shared" si="15"/>
        <v>1.40625</v>
      </c>
    </row>
    <row r="80" spans="1:8" x14ac:dyDescent="0.25">
      <c r="A80" t="s">
        <v>7</v>
      </c>
      <c r="B80">
        <v>1</v>
      </c>
      <c r="C80" t="s">
        <v>36</v>
      </c>
      <c r="D80">
        <v>3.5</v>
      </c>
      <c r="E80">
        <v>0</v>
      </c>
      <c r="F80">
        <v>71</v>
      </c>
      <c r="G80">
        <f t="shared" ref="G80:G91" si="16">D80-(D80*0.25)</f>
        <v>2.625</v>
      </c>
      <c r="H80">
        <f t="shared" ref="H80:H91" si="17">D80+(D80*0.25)</f>
        <v>4.375</v>
      </c>
    </row>
    <row r="81" spans="1:8" x14ac:dyDescent="0.25">
      <c r="A81" t="s">
        <v>7</v>
      </c>
      <c r="B81">
        <v>1</v>
      </c>
      <c r="C81" t="s">
        <v>36</v>
      </c>
      <c r="D81">
        <v>2.5</v>
      </c>
      <c r="E81">
        <v>72</v>
      </c>
      <c r="F81">
        <v>74</v>
      </c>
      <c r="G81">
        <f t="shared" si="16"/>
        <v>1.875</v>
      </c>
      <c r="H81">
        <f t="shared" si="17"/>
        <v>3.125</v>
      </c>
    </row>
    <row r="82" spans="1:8" x14ac:dyDescent="0.25">
      <c r="A82" t="s">
        <v>7</v>
      </c>
      <c r="B82">
        <v>2</v>
      </c>
      <c r="C82" t="s">
        <v>37</v>
      </c>
      <c r="D82">
        <v>2</v>
      </c>
      <c r="E82">
        <v>0</v>
      </c>
      <c r="F82">
        <v>64</v>
      </c>
      <c r="G82">
        <f t="shared" si="16"/>
        <v>1.5</v>
      </c>
      <c r="H82">
        <f t="shared" si="17"/>
        <v>2.5</v>
      </c>
    </row>
    <row r="83" spans="1:8" x14ac:dyDescent="0.25">
      <c r="A83" t="s">
        <v>7</v>
      </c>
      <c r="B83">
        <v>2</v>
      </c>
      <c r="C83" t="s">
        <v>37</v>
      </c>
      <c r="D83">
        <v>1</v>
      </c>
      <c r="E83">
        <v>65</v>
      </c>
      <c r="F83">
        <v>67</v>
      </c>
      <c r="G83">
        <f t="shared" si="16"/>
        <v>0.75</v>
      </c>
      <c r="H83">
        <f t="shared" si="17"/>
        <v>1.25</v>
      </c>
    </row>
    <row r="84" spans="1:8" x14ac:dyDescent="0.25">
      <c r="A84" t="s">
        <v>8</v>
      </c>
      <c r="B84">
        <v>1</v>
      </c>
      <c r="C84" t="s">
        <v>38</v>
      </c>
      <c r="D84">
        <v>3.5</v>
      </c>
      <c r="E84">
        <v>0</v>
      </c>
      <c r="F84">
        <v>71</v>
      </c>
      <c r="G84">
        <f t="shared" si="16"/>
        <v>2.625</v>
      </c>
      <c r="H84">
        <f t="shared" si="17"/>
        <v>4.375</v>
      </c>
    </row>
    <row r="85" spans="1:8" x14ac:dyDescent="0.25">
      <c r="A85" t="s">
        <v>8</v>
      </c>
      <c r="B85">
        <v>1</v>
      </c>
      <c r="C85" t="s">
        <v>38</v>
      </c>
      <c r="D85">
        <v>2.5</v>
      </c>
      <c r="E85">
        <v>72</v>
      </c>
      <c r="F85">
        <v>74</v>
      </c>
      <c r="G85">
        <f t="shared" si="16"/>
        <v>1.875</v>
      </c>
      <c r="H85">
        <f t="shared" si="17"/>
        <v>3.125</v>
      </c>
    </row>
    <row r="86" spans="1:8" x14ac:dyDescent="0.25">
      <c r="A86" t="s">
        <v>8</v>
      </c>
      <c r="B86">
        <v>2</v>
      </c>
      <c r="C86" t="s">
        <v>39</v>
      </c>
      <c r="D86">
        <v>2</v>
      </c>
      <c r="E86">
        <v>0</v>
      </c>
      <c r="F86">
        <v>64</v>
      </c>
      <c r="G86">
        <f t="shared" si="16"/>
        <v>1.5</v>
      </c>
      <c r="H86">
        <f t="shared" si="17"/>
        <v>2.5</v>
      </c>
    </row>
    <row r="87" spans="1:8" x14ac:dyDescent="0.25">
      <c r="A87" t="s">
        <v>8</v>
      </c>
      <c r="B87">
        <v>2</v>
      </c>
      <c r="C87" t="s">
        <v>39</v>
      </c>
      <c r="D87">
        <v>1</v>
      </c>
      <c r="E87">
        <v>65</v>
      </c>
      <c r="F87">
        <v>67</v>
      </c>
      <c r="G87">
        <f t="shared" si="16"/>
        <v>0.75</v>
      </c>
      <c r="H87">
        <f t="shared" si="17"/>
        <v>1.25</v>
      </c>
    </row>
    <row r="88" spans="1:8" x14ac:dyDescent="0.25">
      <c r="A88" t="s">
        <v>9</v>
      </c>
      <c r="B88">
        <v>1</v>
      </c>
      <c r="C88" t="s">
        <v>40</v>
      </c>
      <c r="D88">
        <v>1.2</v>
      </c>
      <c r="E88">
        <v>0</v>
      </c>
      <c r="F88">
        <v>72</v>
      </c>
      <c r="G88">
        <f t="shared" ref="G88" si="18">D88-(D88*0.25)</f>
        <v>0.89999999999999991</v>
      </c>
      <c r="H88">
        <f t="shared" ref="H88" si="19">D88+(D88*0.25)</f>
        <v>1.5</v>
      </c>
    </row>
    <row r="89" spans="1:8" x14ac:dyDescent="0.25">
      <c r="A89" t="s">
        <v>10</v>
      </c>
      <c r="B89">
        <v>1</v>
      </c>
      <c r="C89" t="s">
        <v>41</v>
      </c>
      <c r="D89">
        <v>1.2</v>
      </c>
      <c r="E89">
        <v>0</v>
      </c>
      <c r="F89">
        <v>72</v>
      </c>
      <c r="G89">
        <f t="shared" si="16"/>
        <v>0.89999999999999991</v>
      </c>
      <c r="H89">
        <f t="shared" si="17"/>
        <v>1.5</v>
      </c>
    </row>
    <row r="90" spans="1:8" x14ac:dyDescent="0.25">
      <c r="A90" t="s">
        <v>16</v>
      </c>
      <c r="B90">
        <v>1</v>
      </c>
      <c r="C90" t="s">
        <v>17</v>
      </c>
      <c r="D90">
        <v>0.5</v>
      </c>
      <c r="E90">
        <v>0</v>
      </c>
      <c r="F90">
        <v>49</v>
      </c>
      <c r="G90">
        <f t="shared" si="16"/>
        <v>0.375</v>
      </c>
      <c r="H90">
        <f t="shared" si="17"/>
        <v>0.625</v>
      </c>
    </row>
    <row r="91" spans="1:8" x14ac:dyDescent="0.25">
      <c r="A91" t="s">
        <v>49</v>
      </c>
      <c r="B91">
        <v>1</v>
      </c>
      <c r="C91" t="s">
        <v>50</v>
      </c>
      <c r="D91">
        <v>0.5</v>
      </c>
      <c r="E91">
        <v>0</v>
      </c>
      <c r="F91">
        <v>64</v>
      </c>
      <c r="G91">
        <f t="shared" si="16"/>
        <v>0.375</v>
      </c>
      <c r="H91">
        <f t="shared" si="17"/>
        <v>0.625</v>
      </c>
    </row>
  </sheetData>
  <autoFilter ref="A1:H91" xr:uid="{EB6437B3-F8C6-4C30-BAA1-BB8B4D93E54D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16C-339F-4DE0-8853-8333049323EF}">
  <dimension ref="E1:G48"/>
  <sheetViews>
    <sheetView workbookViewId="0">
      <selection activeCell="C8" sqref="A1:C8"/>
    </sheetView>
  </sheetViews>
  <sheetFormatPr defaultRowHeight="15" x14ac:dyDescent="0.25"/>
  <cols>
    <col min="5" max="5" width="10.7109375" bestFit="1" customWidth="1"/>
  </cols>
  <sheetData>
    <row r="1" spans="5:7" x14ac:dyDescent="0.25">
      <c r="E1" t="s">
        <v>13</v>
      </c>
      <c r="F1" t="s">
        <v>69</v>
      </c>
      <c r="G1" t="s">
        <v>70</v>
      </c>
    </row>
    <row r="2" spans="5:7" x14ac:dyDescent="0.25">
      <c r="E2" t="s">
        <v>48</v>
      </c>
      <c r="F2">
        <v>2.5</v>
      </c>
      <c r="G2">
        <v>3.5</v>
      </c>
    </row>
    <row r="3" spans="5:7" x14ac:dyDescent="0.25">
      <c r="E3" t="s">
        <v>18</v>
      </c>
    </row>
    <row r="4" spans="5:7" x14ac:dyDescent="0.25">
      <c r="E4" t="s">
        <v>19</v>
      </c>
    </row>
    <row r="5" spans="5:7" x14ac:dyDescent="0.25">
      <c r="E5" t="s">
        <v>20</v>
      </c>
    </row>
    <row r="6" spans="5:7" x14ac:dyDescent="0.25">
      <c r="E6" t="s">
        <v>45</v>
      </c>
    </row>
    <row r="7" spans="5:7" x14ac:dyDescent="0.25">
      <c r="E7" t="s">
        <v>21</v>
      </c>
    </row>
    <row r="8" spans="5:7" x14ac:dyDescent="0.25">
      <c r="E8" t="s">
        <v>22</v>
      </c>
    </row>
    <row r="9" spans="5:7" x14ac:dyDescent="0.25">
      <c r="E9" t="s">
        <v>23</v>
      </c>
    </row>
    <row r="10" spans="5:7" x14ac:dyDescent="0.25">
      <c r="E10" t="s">
        <v>24</v>
      </c>
    </row>
    <row r="11" spans="5:7" x14ac:dyDescent="0.25">
      <c r="E11" t="s">
        <v>44</v>
      </c>
    </row>
    <row r="12" spans="5:7" x14ac:dyDescent="0.25">
      <c r="E12" t="s">
        <v>25</v>
      </c>
    </row>
    <row r="13" spans="5:7" x14ac:dyDescent="0.25">
      <c r="E13" t="s">
        <v>26</v>
      </c>
    </row>
    <row r="14" spans="5:7" x14ac:dyDescent="0.25">
      <c r="E14" t="s">
        <v>46</v>
      </c>
    </row>
    <row r="15" spans="5:7" x14ac:dyDescent="0.25">
      <c r="E15" t="s">
        <v>59</v>
      </c>
    </row>
    <row r="16" spans="5:7" x14ac:dyDescent="0.25">
      <c r="E16" t="s">
        <v>60</v>
      </c>
    </row>
    <row r="17" spans="5:5" x14ac:dyDescent="0.25">
      <c r="E17" t="s">
        <v>61</v>
      </c>
    </row>
    <row r="18" spans="5:5" x14ac:dyDescent="0.25">
      <c r="E18" t="s">
        <v>63</v>
      </c>
    </row>
    <row r="19" spans="5:5" x14ac:dyDescent="0.25">
      <c r="E19" t="s">
        <v>64</v>
      </c>
    </row>
    <row r="20" spans="5:5" x14ac:dyDescent="0.25">
      <c r="E20" t="s">
        <v>65</v>
      </c>
    </row>
    <row r="21" spans="5:5" x14ac:dyDescent="0.25">
      <c r="E21" t="s">
        <v>27</v>
      </c>
    </row>
    <row r="22" spans="5:5" x14ac:dyDescent="0.25">
      <c r="E22" t="s">
        <v>28</v>
      </c>
    </row>
    <row r="23" spans="5:5" x14ac:dyDescent="0.25">
      <c r="E23" t="s">
        <v>54</v>
      </c>
    </row>
    <row r="24" spans="5:5" x14ac:dyDescent="0.25">
      <c r="E24" t="s">
        <v>55</v>
      </c>
    </row>
    <row r="25" spans="5:5" x14ac:dyDescent="0.25">
      <c r="E25" t="s">
        <v>66</v>
      </c>
    </row>
    <row r="26" spans="5:5" x14ac:dyDescent="0.25">
      <c r="E26" t="s">
        <v>67</v>
      </c>
    </row>
    <row r="27" spans="5:5" x14ac:dyDescent="0.25">
      <c r="E27" t="s">
        <v>29</v>
      </c>
    </row>
    <row r="28" spans="5:5" x14ac:dyDescent="0.25">
      <c r="E28" t="s">
        <v>30</v>
      </c>
    </row>
    <row r="29" spans="5:5" x14ac:dyDescent="0.25">
      <c r="E29" t="s">
        <v>31</v>
      </c>
    </row>
    <row r="30" spans="5:5" x14ac:dyDescent="0.25">
      <c r="E30" t="s">
        <v>47</v>
      </c>
    </row>
    <row r="31" spans="5:5" x14ac:dyDescent="0.25">
      <c r="E31" t="s">
        <v>56</v>
      </c>
    </row>
    <row r="32" spans="5:5" x14ac:dyDescent="0.25">
      <c r="E32" t="s">
        <v>57</v>
      </c>
    </row>
    <row r="33" spans="5:5" x14ac:dyDescent="0.25">
      <c r="E33" t="s">
        <v>68</v>
      </c>
    </row>
    <row r="34" spans="5:5" x14ac:dyDescent="0.25">
      <c r="E34" t="s">
        <v>51</v>
      </c>
    </row>
    <row r="35" spans="5:5" x14ac:dyDescent="0.25">
      <c r="E35" t="s">
        <v>52</v>
      </c>
    </row>
    <row r="36" spans="5:5" x14ac:dyDescent="0.25">
      <c r="E36" t="s">
        <v>32</v>
      </c>
    </row>
    <row r="37" spans="5:5" x14ac:dyDescent="0.25">
      <c r="E37" t="s">
        <v>33</v>
      </c>
    </row>
    <row r="38" spans="5:5" x14ac:dyDescent="0.25">
      <c r="E38" t="s">
        <v>34</v>
      </c>
    </row>
    <row r="39" spans="5:5" x14ac:dyDescent="0.25">
      <c r="E39" t="s">
        <v>35</v>
      </c>
    </row>
    <row r="40" spans="5:5" x14ac:dyDescent="0.25">
      <c r="E40" t="s">
        <v>43</v>
      </c>
    </row>
    <row r="41" spans="5:5" x14ac:dyDescent="0.25">
      <c r="E41" t="s">
        <v>36</v>
      </c>
    </row>
    <row r="42" spans="5:5" x14ac:dyDescent="0.25">
      <c r="E42" t="s">
        <v>37</v>
      </c>
    </row>
    <row r="43" spans="5:5" x14ac:dyDescent="0.25">
      <c r="E43" t="s">
        <v>38</v>
      </c>
    </row>
    <row r="44" spans="5:5" x14ac:dyDescent="0.25">
      <c r="E44" t="s">
        <v>39</v>
      </c>
    </row>
    <row r="45" spans="5:5" x14ac:dyDescent="0.25">
      <c r="E45" t="s">
        <v>40</v>
      </c>
    </row>
    <row r="46" spans="5:5" x14ac:dyDescent="0.25">
      <c r="E46" t="s">
        <v>41</v>
      </c>
    </row>
    <row r="47" spans="5:5" x14ac:dyDescent="0.25">
      <c r="E47" t="s">
        <v>17</v>
      </c>
    </row>
    <row r="48" spans="5:5" x14ac:dyDescent="0.25">
      <c r="E4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TierNeedLogic</vt:lpstr>
      <vt:lpstr>RoundRanges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Peck</dc:creator>
  <cp:lastModifiedBy>Ethan Peck</cp:lastModifiedBy>
  <dcterms:created xsi:type="dcterms:W3CDTF">2026-03-14T23:59:37Z</dcterms:created>
  <dcterms:modified xsi:type="dcterms:W3CDTF">2026-06-03T22:19:30Z</dcterms:modified>
</cp:coreProperties>
</file>